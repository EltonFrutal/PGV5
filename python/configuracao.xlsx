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GV5\python\"/>
    </mc:Choice>
  </mc:AlternateContent>
  <xr:revisionPtr revIDLastSave="0" documentId="13_ncr:1_{BC2CB649-2E87-4F6C-BF28-A894DBC82C34}" xr6:coauthVersionLast="47" xr6:coauthVersionMax="47" xr10:uidLastSave="{00000000-0000-0000-0000-000000000000}"/>
  <bookViews>
    <workbookView xWindow="-108" yWindow="-108" windowWidth="23256" windowHeight="12456" activeTab="2" xr2:uid="{1F82EBBD-5B60-4E12-B3A5-A2F0FC77CF79}"/>
  </bookViews>
  <sheets>
    <sheet name="usuario" sheetId="1" r:id="rId1"/>
    <sheet name="empresa" sheetId="2" r:id="rId2"/>
    <sheet name="usuarioempres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3" l="1"/>
  <c r="B5" i="3"/>
  <c r="B4" i="3"/>
  <c r="D4" i="3"/>
  <c r="D5" i="3"/>
  <c r="D6" i="3"/>
  <c r="B2" i="3"/>
  <c r="B3" i="3"/>
  <c r="B7" i="3"/>
  <c r="D7" i="3"/>
  <c r="D3" i="3"/>
  <c r="D2" i="3"/>
</calcChain>
</file>

<file path=xl/sharedStrings.xml><?xml version="1.0" encoding="utf-8"?>
<sst xmlns="http://schemas.openxmlformats.org/spreadsheetml/2006/main" count="92" uniqueCount="43">
  <si>
    <t>id</t>
  </si>
  <si>
    <t>nome</t>
  </si>
  <si>
    <t>perfil</t>
  </si>
  <si>
    <t>permissao</t>
  </si>
  <si>
    <t>elton@hotmail.com</t>
  </si>
  <si>
    <t>senha</t>
  </si>
  <si>
    <t>Administrador</t>
  </si>
  <si>
    <t>afonso@hotmail.com</t>
  </si>
  <si>
    <t>Consultor</t>
  </si>
  <si>
    <t>Multicar</t>
  </si>
  <si>
    <t>Ativo</t>
  </si>
  <si>
    <t>sim</t>
  </si>
  <si>
    <t>RS</t>
  </si>
  <si>
    <t>usuario</t>
  </si>
  <si>
    <t>exibevendas</t>
  </si>
  <si>
    <t>exibecompras</t>
  </si>
  <si>
    <t>exibeareceber</t>
  </si>
  <si>
    <t>exibeapagar</t>
  </si>
  <si>
    <t>exibehistoricos</t>
  </si>
  <si>
    <t>exibeindicadores</t>
  </si>
  <si>
    <t>exiberesultados</t>
  </si>
  <si>
    <t>icone</t>
  </si>
  <si>
    <t>multicar</t>
  </si>
  <si>
    <t>rs</t>
  </si>
  <si>
    <t>foto</t>
  </si>
  <si>
    <t>usuarionome</t>
  </si>
  <si>
    <t>Sim</t>
  </si>
  <si>
    <t>Não</t>
  </si>
  <si>
    <t>empresa</t>
  </si>
  <si>
    <t>empresanome</t>
  </si>
  <si>
    <t>pasta</t>
  </si>
  <si>
    <t>multicar-000061</t>
  </si>
  <si>
    <t>rs-000268</t>
  </si>
  <si>
    <t>retificalima-000005</t>
  </si>
  <si>
    <t>postomolasjao-000977</t>
  </si>
  <si>
    <t>cocacafe-000811</t>
  </si>
  <si>
    <t>Retifica Lima</t>
  </si>
  <si>
    <t>Posto Molas Jao</t>
  </si>
  <si>
    <t>Coca Café</t>
  </si>
  <si>
    <t>retificalima</t>
  </si>
  <si>
    <t>postomolasjao</t>
  </si>
  <si>
    <t>cocacafe</t>
  </si>
  <si>
    <t>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</si>
</sst>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applyAlignment="1">
      <alignment horizontal="left"/>
    </xf>
    <xf numFmtId="0" fontId="1" fillId="0" borderId="0" xfId="1" applyAlignment="1">
      <alignment horizontal="left"/>
    </xf>
  </cellXfs>
  <cellStyles count="2">
    <cellStyle name="Hiperlink" xfId="1" builtinId="8"/>
    <cellStyle name="Normal" xfId="0" builtinId="0"/>
  </cellStyles>
  <dxfs count="9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4CA614-06D6-487A-AC93-6A2241611AC0}" name="usuario" displayName="usuario" ref="A1:F3" totalsRowShown="0" headerRowDxfId="5">
  <autoFilter ref="A1:F3" xr:uid="{354CA614-06D6-487A-AC93-6A2241611AC0}"/>
  <tableColumns count="6">
    <tableColumn id="1" xr3:uid="{EE517428-8326-4421-A6E2-0B93F4ABA9CE}" name="id"/>
    <tableColumn id="2" xr3:uid="{61E93D6E-7311-4912-AF96-328DC0D87EE0}" name="nome" dataCellStyle="Hiperlink"/>
    <tableColumn id="3" xr3:uid="{C527D049-E194-400C-A338-63408A3AE3B8}" name="senha" dataDxfId="4" dataCellStyle="Hiperlink"/>
    <tableColumn id="4" xr3:uid="{9C3DA593-E66D-4138-83BB-292F4CCA94A5}" name="perfil" dataDxfId="3"/>
    <tableColumn id="5" xr3:uid="{22886BD8-3824-42DF-AD7D-80C61DA5AA64}" name="permissao" dataDxfId="2"/>
    <tableColumn id="6" xr3:uid="{C652BB6D-EA49-45F2-978A-8D427D06859A}" name="foto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74587F-4EDB-4A04-A047-95457930A1BD}" name="empresa" displayName="empresa" ref="A1:E6" totalsRowShown="0">
  <autoFilter ref="A1:E6" xr:uid="{2C74587F-4EDB-4A04-A047-95457930A1BD}"/>
  <sortState xmlns:xlrd2="http://schemas.microsoft.com/office/spreadsheetml/2017/richdata2" ref="A2:E6">
    <sortCondition descending="1" ref="C2:C6"/>
  </sortState>
  <tableColumns count="5">
    <tableColumn id="1" xr3:uid="{9DD8D1CA-9AF9-45BF-8DBD-A920F56400B1}" name="id" dataDxfId="0"/>
    <tableColumn id="2" xr3:uid="{1F3973A9-14D5-48A2-A4EB-96AABA0CD509}" name="empresa"/>
    <tableColumn id="3" xr3:uid="{2B695CA5-89DF-4DCF-8420-BA376092F4EA}" name="Ativo"/>
    <tableColumn id="4" xr3:uid="{21AB75A6-1DE6-456A-82F4-ECA3C4BBC905}" name="pasta"/>
    <tableColumn id="5" xr3:uid="{EBC36172-1BF1-4CFD-8BB0-C48B158625BD}" name="icon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74DAF8-98C2-47C1-B13E-4C5727BD8BDE}" name="usuarioempresa" displayName="usuarioempresa" ref="A1:K7" totalsRowShown="0">
  <autoFilter ref="A1:K7" xr:uid="{4074DAF8-98C2-47C1-B13E-4C5727BD8BDE}"/>
  <tableColumns count="11">
    <tableColumn id="1" xr3:uid="{08AEA4A7-B01F-48CC-AF29-CC6723AB04DC}" name="usuario" dataDxfId="8"/>
    <tableColumn id="11" xr3:uid="{7FEA97FF-BE11-4D54-8578-02025EDE7F36}" name="usuarionome" dataDxfId="7">
      <calculatedColumnFormula>IFERROR(VLOOKUP(usuarioempresa[[#This Row],[usuario]],usuario[],2,FALSE),"")</calculatedColumnFormula>
    </tableColumn>
    <tableColumn id="2" xr3:uid="{75F83D67-4134-4D4C-90A2-6552CE45CCE6}" name="empresa" dataDxfId="6"/>
    <tableColumn id="3" xr3:uid="{45DF059E-591F-4153-8E71-F0E31DDE3859}" name="empresanome">
      <calculatedColumnFormula>IFERROR(VLOOKUP(C2,empresa[],2,FALSE),"")</calculatedColumnFormula>
    </tableColumn>
    <tableColumn id="4" xr3:uid="{6F940B45-5A92-44DE-A096-95AF5DECA5C5}" name="exibevendas"/>
    <tableColumn id="5" xr3:uid="{BA07907A-94F7-4C75-BCAB-951543B85E99}" name="exibecompras"/>
    <tableColumn id="6" xr3:uid="{6C6EF069-DC18-4EEA-AE7C-5524DB95FBC3}" name="exibeareceber"/>
    <tableColumn id="7" xr3:uid="{E3708F1A-40DF-4F06-BA82-AD4FDF4A3374}" name="exibeapagar"/>
    <tableColumn id="8" xr3:uid="{DD4BDAD0-0FF1-4EF1-BF9C-D2A31D967E55}" name="exibehistoricos"/>
    <tableColumn id="9" xr3:uid="{5B9B218F-4622-4753-808B-1ED746FE8FB5}" name="exibeindicadores"/>
    <tableColumn id="10" xr3:uid="{30D1E550-21FF-4D80-8685-6A17AF9CC0E4}" name="exiberesultad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lton@hotmail.com" TargetMode="External"/><Relationship Id="rId2" Type="http://schemas.openxmlformats.org/officeDocument/2006/relationships/hyperlink" Target="mailto:afonso@hotmail.com" TargetMode="External"/><Relationship Id="rId1" Type="http://schemas.openxmlformats.org/officeDocument/2006/relationships/hyperlink" Target="mailto:elton@hotmail.com" TargetMode="External"/><Relationship Id="rId5" Type="http://schemas.openxmlformats.org/officeDocument/2006/relationships/table" Target="../tables/table1.xml"/><Relationship Id="rId4" Type="http://schemas.openxmlformats.org/officeDocument/2006/relationships/hyperlink" Target="mailto:afonso@hot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E4C3C-304C-4D6B-A44F-D558D0AFF363}">
  <dimension ref="A1:F3"/>
  <sheetViews>
    <sheetView workbookViewId="0">
      <selection activeCell="F3" sqref="F3"/>
    </sheetView>
  </sheetViews>
  <sheetFormatPr defaultRowHeight="14.4" x14ac:dyDescent="0.3"/>
  <cols>
    <col min="2" max="2" width="24.33203125" customWidth="1"/>
    <col min="3" max="5" width="15.33203125" style="2" customWidth="1"/>
    <col min="6" max="6" width="18.44140625" style="2" bestFit="1" customWidth="1"/>
    <col min="7" max="7" width="15.33203125" customWidth="1"/>
  </cols>
  <sheetData>
    <row r="1" spans="1:6" x14ac:dyDescent="0.3">
      <c r="A1" t="s">
        <v>0</v>
      </c>
      <c r="B1" t="s">
        <v>1</v>
      </c>
      <c r="C1" s="2" t="s">
        <v>5</v>
      </c>
      <c r="D1" s="2" t="s">
        <v>2</v>
      </c>
      <c r="E1" s="2" t="s">
        <v>3</v>
      </c>
      <c r="F1" s="2" t="s">
        <v>24</v>
      </c>
    </row>
    <row r="2" spans="1:6" x14ac:dyDescent="0.3">
      <c r="A2">
        <v>1</v>
      </c>
      <c r="B2" s="1" t="s">
        <v>4</v>
      </c>
      <c r="C2" s="3">
        <v>123</v>
      </c>
      <c r="D2" s="2" t="s">
        <v>6</v>
      </c>
      <c r="E2" s="2" t="s">
        <v>6</v>
      </c>
      <c r="F2" s="1" t="s">
        <v>4</v>
      </c>
    </row>
    <row r="3" spans="1:6" x14ac:dyDescent="0.3">
      <c r="A3">
        <v>2</v>
      </c>
      <c r="B3" s="1" t="s">
        <v>7</v>
      </c>
      <c r="C3" s="2">
        <v>123</v>
      </c>
      <c r="D3" s="2" t="s">
        <v>8</v>
      </c>
      <c r="E3" s="2" t="s">
        <v>6</v>
      </c>
      <c r="F3" s="1" t="s">
        <v>7</v>
      </c>
    </row>
  </sheetData>
  <hyperlinks>
    <hyperlink ref="B2" r:id="rId1" xr:uid="{9C7DC291-A268-4225-AB90-0938F7C9D2DE}"/>
    <hyperlink ref="B3" r:id="rId2" xr:uid="{F09140AA-DCBA-464A-95B1-E204B06118A3}"/>
    <hyperlink ref="F2" r:id="rId3" xr:uid="{95028545-255F-4B3F-94FA-5697E7F69807}"/>
    <hyperlink ref="F3" r:id="rId4" xr:uid="{3E4A2D5A-E989-4932-9431-CFE9F6EA76C8}"/>
  </hyperlinks>
  <pageMargins left="0.511811024" right="0.511811024" top="0.78740157499999996" bottom="0.78740157499999996" header="0.31496062000000002" footer="0.31496062000000002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AE3A5-52F0-415C-8B32-90E10EF44EF6}">
  <dimension ref="A1:E6"/>
  <sheetViews>
    <sheetView workbookViewId="0">
      <selection activeCell="C5" sqref="C5"/>
    </sheetView>
  </sheetViews>
  <sheetFormatPr defaultRowHeight="14.4" x14ac:dyDescent="0.3"/>
  <cols>
    <col min="1" max="1" width="8.88671875" style="2"/>
    <col min="2" max="3" width="17" customWidth="1"/>
    <col min="4" max="4" width="39.109375" customWidth="1"/>
    <col min="5" max="5" width="12.77734375" bestFit="1" customWidth="1"/>
  </cols>
  <sheetData>
    <row r="1" spans="1:5" x14ac:dyDescent="0.3">
      <c r="A1" s="2" t="s">
        <v>0</v>
      </c>
      <c r="B1" t="s">
        <v>28</v>
      </c>
      <c r="C1" t="s">
        <v>10</v>
      </c>
      <c r="D1" t="s">
        <v>30</v>
      </c>
      <c r="E1" t="s">
        <v>21</v>
      </c>
    </row>
    <row r="2" spans="1:5" x14ac:dyDescent="0.3">
      <c r="A2" s="2">
        <v>61</v>
      </c>
      <c r="B2" t="s">
        <v>9</v>
      </c>
      <c r="C2" t="s">
        <v>26</v>
      </c>
      <c r="D2" t="s">
        <v>31</v>
      </c>
      <c r="E2" t="s">
        <v>22</v>
      </c>
    </row>
    <row r="3" spans="1:5" x14ac:dyDescent="0.3">
      <c r="A3" s="2">
        <v>811</v>
      </c>
      <c r="B3" t="s">
        <v>38</v>
      </c>
      <c r="C3" t="s">
        <v>26</v>
      </c>
      <c r="D3" t="s">
        <v>35</v>
      </c>
      <c r="E3" t="s">
        <v>41</v>
      </c>
    </row>
    <row r="4" spans="1:5" x14ac:dyDescent="0.3">
      <c r="A4" s="2">
        <v>268</v>
      </c>
      <c r="B4" t="s">
        <v>12</v>
      </c>
      <c r="C4" t="s">
        <v>27</v>
      </c>
      <c r="D4" t="s">
        <v>32</v>
      </c>
      <c r="E4" t="s">
        <v>23</v>
      </c>
    </row>
    <row r="5" spans="1:5" x14ac:dyDescent="0.3">
      <c r="A5" s="2">
        <v>5</v>
      </c>
      <c r="B5" t="s">
        <v>36</v>
      </c>
      <c r="C5" t="s">
        <v>26</v>
      </c>
      <c r="D5" t="s">
        <v>33</v>
      </c>
      <c r="E5" t="s">
        <v>39</v>
      </c>
    </row>
    <row r="6" spans="1:5" x14ac:dyDescent="0.3">
      <c r="A6" s="2">
        <v>977</v>
      </c>
      <c r="B6" t="s">
        <v>37</v>
      </c>
      <c r="C6" t="s">
        <v>27</v>
      </c>
      <c r="D6" t="s">
        <v>34</v>
      </c>
      <c r="E6" t="s">
        <v>40</v>
      </c>
    </row>
  </sheetData>
  <dataValidations count="1">
    <dataValidation type="list" allowBlank="1" showInputMessage="1" showErrorMessage="1" sqref="C2:C6" xr:uid="{F36133D2-39D8-4004-9DB7-A7C8B24A07AF}">
      <formula1>"Sim, Não"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E8C63-5AFD-4B5D-B1BB-06011EB9D7D2}">
  <dimension ref="A1:K7"/>
  <sheetViews>
    <sheetView tabSelected="1" workbookViewId="0">
      <selection activeCell="H3" sqref="H3"/>
    </sheetView>
  </sheetViews>
  <sheetFormatPr defaultRowHeight="14.4" x14ac:dyDescent="0.3"/>
  <cols>
    <col min="1" max="1" width="10.6640625" style="2" customWidth="1"/>
    <col min="2" max="2" width="27.88671875" style="2" customWidth="1"/>
    <col min="3" max="3" width="13.21875" style="2" bestFit="1" customWidth="1"/>
    <col min="4" max="4" width="24" customWidth="1"/>
    <col min="5" max="9" width="17" customWidth="1"/>
    <col min="10" max="10" width="17.33203125" customWidth="1"/>
    <col min="11" max="12" width="17" customWidth="1"/>
    <col min="13" max="14" width="10.6640625" customWidth="1"/>
  </cols>
  <sheetData>
    <row r="1" spans="1:11" x14ac:dyDescent="0.3">
      <c r="A1" s="2" t="s">
        <v>13</v>
      </c>
      <c r="B1" s="2" t="s">
        <v>25</v>
      </c>
      <c r="C1" s="2" t="s">
        <v>28</v>
      </c>
      <c r="D1" t="s">
        <v>29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</row>
    <row r="2" spans="1:11" x14ac:dyDescent="0.3">
      <c r="A2" s="2">
        <v>1</v>
      </c>
      <c r="B2" s="2" t="str">
        <f>IFERROR(VLOOKUP(usuarioempresa[[#This Row],[usuario]],usuario[],2,FALSE),"")</f>
        <v>elton@hotmail.com</v>
      </c>
      <c r="C2" s="2">
        <v>61</v>
      </c>
      <c r="D2" t="str">
        <f>IFERROR(VLOOKUP(C2,empresa[],2,FALSE),"")</f>
        <v>Multicar</v>
      </c>
      <c r="E2" t="s">
        <v>11</v>
      </c>
      <c r="F2" t="s">
        <v>11</v>
      </c>
      <c r="G2" t="s">
        <v>42</v>
      </c>
      <c r="H2" t="s">
        <v>42</v>
      </c>
      <c r="I2" t="s">
        <v>11</v>
      </c>
      <c r="J2" t="s">
        <v>11</v>
      </c>
      <c r="K2" t="s">
        <v>11</v>
      </c>
    </row>
    <row r="3" spans="1:11" x14ac:dyDescent="0.3">
      <c r="A3" s="2">
        <v>1</v>
      </c>
      <c r="B3" s="2" t="str">
        <f>IFERROR(VLOOKUP(usuarioempresa[[#This Row],[usuario]],usuario[],2,FALSE),"")</f>
        <v>elton@hotmail.com</v>
      </c>
      <c r="C3" s="2">
        <v>811</v>
      </c>
      <c r="D3" t="str">
        <f>IFERROR(VLOOKUP(C3,empresa[],2,FALSE),"")</f>
        <v>Coca Café</v>
      </c>
      <c r="E3" t="s">
        <v>11</v>
      </c>
      <c r="F3" t="s">
        <v>11</v>
      </c>
      <c r="G3" t="s">
        <v>11</v>
      </c>
      <c r="H3" t="s">
        <v>11</v>
      </c>
      <c r="I3" t="s">
        <v>11</v>
      </c>
      <c r="J3" t="s">
        <v>11</v>
      </c>
      <c r="K3" t="s">
        <v>11</v>
      </c>
    </row>
    <row r="4" spans="1:11" x14ac:dyDescent="0.3">
      <c r="A4" s="2">
        <v>1</v>
      </c>
      <c r="B4" s="2" t="str">
        <f>IFERROR(VLOOKUP(usuarioempresa[[#This Row],[usuario]],usuario[],2,FALSE),"")</f>
        <v>elton@hotmail.com</v>
      </c>
      <c r="C4" s="2">
        <v>268</v>
      </c>
      <c r="D4" t="str">
        <f>IFERROR(VLOOKUP(C4,empresa[],2,FALSE),"")</f>
        <v>RS</v>
      </c>
      <c r="E4" t="s">
        <v>11</v>
      </c>
      <c r="F4" t="s">
        <v>11</v>
      </c>
      <c r="G4" t="s">
        <v>11</v>
      </c>
      <c r="H4" t="s">
        <v>11</v>
      </c>
      <c r="I4" t="s">
        <v>11</v>
      </c>
      <c r="J4" t="s">
        <v>11</v>
      </c>
      <c r="K4" t="s">
        <v>11</v>
      </c>
    </row>
    <row r="5" spans="1:11" x14ac:dyDescent="0.3">
      <c r="A5" s="2">
        <v>1</v>
      </c>
      <c r="B5" s="2" t="str">
        <f>IFERROR(VLOOKUP(usuarioempresa[[#This Row],[usuario]],usuario[],2,FALSE),"")</f>
        <v>elton@hotmail.com</v>
      </c>
      <c r="C5" s="2">
        <v>5</v>
      </c>
      <c r="D5" t="str">
        <f>IFERROR(VLOOKUP(C5,empresa[],2,FALSE),"")</f>
        <v>Retifica Lima</v>
      </c>
      <c r="E5" t="s">
        <v>11</v>
      </c>
      <c r="F5" t="s">
        <v>11</v>
      </c>
      <c r="G5" t="s">
        <v>11</v>
      </c>
      <c r="H5" t="s">
        <v>11</v>
      </c>
      <c r="I5" t="s">
        <v>11</v>
      </c>
      <c r="J5" t="s">
        <v>11</v>
      </c>
      <c r="K5" t="s">
        <v>11</v>
      </c>
    </row>
    <row r="6" spans="1:11" x14ac:dyDescent="0.3">
      <c r="A6" s="2">
        <v>1</v>
      </c>
      <c r="B6" s="2" t="str">
        <f>IFERROR(VLOOKUP(usuarioempresa[[#This Row],[usuario]],usuario[],2,FALSE),"")</f>
        <v>elton@hotmail.com</v>
      </c>
      <c r="C6" s="2">
        <v>977</v>
      </c>
      <c r="D6" t="str">
        <f>IFERROR(VLOOKUP(C6,empresa[],2,FALSE),"")</f>
        <v>Posto Molas Jao</v>
      </c>
      <c r="E6" t="s">
        <v>11</v>
      </c>
      <c r="F6" t="s">
        <v>11</v>
      </c>
      <c r="G6" t="s">
        <v>11</v>
      </c>
      <c r="H6" t="s">
        <v>11</v>
      </c>
      <c r="I6" t="s">
        <v>11</v>
      </c>
      <c r="J6" t="s">
        <v>11</v>
      </c>
      <c r="K6" t="s">
        <v>11</v>
      </c>
    </row>
    <row r="7" spans="1:11" x14ac:dyDescent="0.3">
      <c r="A7" s="2">
        <v>2</v>
      </c>
      <c r="B7" s="2" t="str">
        <f>IFERROR(VLOOKUP(usuarioempresa[[#This Row],[usuario]],usuario[],2,FALSE),"")</f>
        <v>afonso@hotmail.com</v>
      </c>
      <c r="C7" s="2">
        <v>811</v>
      </c>
      <c r="D7" t="str">
        <f>IFERROR(VLOOKUP(C7,empresa[],2,FALSE),"")</f>
        <v>Coca Café</v>
      </c>
      <c r="E7" t="s">
        <v>11</v>
      </c>
      <c r="F7" t="s">
        <v>42</v>
      </c>
      <c r="G7" t="s">
        <v>11</v>
      </c>
      <c r="H7" t="s">
        <v>11</v>
      </c>
      <c r="I7" t="s">
        <v>11</v>
      </c>
      <c r="J7" t="s">
        <v>11</v>
      </c>
      <c r="K7" t="s">
        <v>11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usuario</vt:lpstr>
      <vt:lpstr>empresa</vt:lpstr>
      <vt:lpstr>usuarioempresa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Elton Gonçalves de Oliveira</dc:creator>
  <cp:lastModifiedBy>Elton Gonçalves de Oliveira</cp:lastModifiedBy>
  <dcterms:created xsi:type="dcterms:W3CDTF">2026-05-23T14:33:44Z</dcterms:created>
  <dcterms:modified xsi:type="dcterms:W3CDTF">2026-05-24T19:14:13Z</dcterms:modified>
</cp:coreProperties>
</file>